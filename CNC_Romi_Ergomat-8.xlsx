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nu" sheetId="1" state="visible" r:id="rId3"/>
    <sheet name="Painel" sheetId="2" state="visible" r:id="rId4"/>
    <sheet name="Operações" sheetId="3" state="visible" r:id="rId5"/>
    <sheet name="Calculadora" sheetId="4" state="visible" r:id="rId6"/>
    <sheet name="Biblioteca" sheetId="5" state="visible" r:id="rId7"/>
    <sheet name="Program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<sst xmlns="http://schemas.openxmlformats.org/spreadsheetml/2006/main" count="320" uniqueCount="226">
  <si>
    <t xml:space="preserve">🏭  PAINEL DO OPERADOR CNC</t>
  </si>
  <si>
    <t xml:space="preserve">ROMI D600 (FANUC)  ·  ERGOMAT TND 200</t>
  </si>
  <si>
    <t xml:space="preserve">⚙️  Painel de Controle</t>
  </si>
  <si>
    <t xml:space="preserve">Parâmetros globais das máquinas</t>
  </si>
  <si>
    <t xml:space="preserve">📋  Sequência de Operações</t>
  </si>
  <si>
    <t xml:space="preserve">Lista de operações G-code editável</t>
  </si>
  <si>
    <t xml:space="preserve">🧮  Calculadora de Corte</t>
  </si>
  <si>
    <t xml:space="preserve">Rotação e avanço automáticos</t>
  </si>
  <si>
    <t xml:space="preserve">📚  Biblioteca de Ciclos</t>
  </si>
  <si>
    <t xml:space="preserve">Referência G81 · G83 · G84 e mais</t>
  </si>
  <si>
    <t xml:space="preserve">📄  Programa G-Code</t>
  </si>
  <si>
    <t xml:space="preserve">Código gerado automaticamente</t>
  </si>
  <si>
    <t xml:space="preserve">⚙️  PAINEL DE CONTROLE  —  ROMI D600 · ERGOMAT TND 200</t>
  </si>
  <si>
    <t xml:space="preserve">Parâmetro</t>
  </si>
  <si>
    <t xml:space="preserve">Valor</t>
  </si>
  <si>
    <t xml:space="preserve">Unidade</t>
  </si>
  <si>
    <t xml:space="preserve">Máquina</t>
  </si>
  <si>
    <t xml:space="preserve">Descrição</t>
  </si>
  <si>
    <t xml:space="preserve">Obs.</t>
  </si>
  <si>
    <t xml:space="preserve">Material da Peça</t>
  </si>
  <si>
    <t xml:space="preserve">Aço 1045</t>
  </si>
  <si>
    <t xml:space="preserve">—</t>
  </si>
  <si>
    <t xml:space="preserve">Ambas</t>
  </si>
  <si>
    <t xml:space="preserve">Tipo de material usinado</t>
  </si>
  <si>
    <t xml:space="preserve">Ferramenta Ativa</t>
  </si>
  <si>
    <t xml:space="preserve">1</t>
  </si>
  <si>
    <t xml:space="preserve">Nº da ferramenta no magazine</t>
  </si>
  <si>
    <t xml:space="preserve">Offset (H/D)</t>
  </si>
  <si>
    <t xml:space="preserve">Corretor dimensional</t>
  </si>
  <si>
    <t xml:space="preserve">Tipo de Operação</t>
  </si>
  <si>
    <t xml:space="preserve">Desbaste</t>
  </si>
  <si>
    <t xml:space="preserve">Modo de usinagem</t>
  </si>
  <si>
    <t xml:space="preserve">Origem G54 – X</t>
  </si>
  <si>
    <t xml:space="preserve">0</t>
  </si>
  <si>
    <t xml:space="preserve">mm</t>
  </si>
  <si>
    <t xml:space="preserve">ROMI D600</t>
  </si>
  <si>
    <t xml:space="preserve">Coordenada X</t>
  </si>
  <si>
    <t xml:space="preserve">Origem G54 – Y</t>
  </si>
  <si>
    <t xml:space="preserve">Coordenada Y</t>
  </si>
  <si>
    <t xml:space="preserve">Origem G54 – Z</t>
  </si>
  <si>
    <t xml:space="preserve">Coordenada Z</t>
  </si>
  <si>
    <t xml:space="preserve">Ergomat TND200</t>
  </si>
  <si>
    <t xml:space="preserve">RPM Máx. Spindle</t>
  </si>
  <si>
    <t xml:space="preserve">6000</t>
  </si>
  <si>
    <t xml:space="preserve">RPM</t>
  </si>
  <si>
    <t xml:space="preserve">Limite máximo do spindle</t>
  </si>
  <si>
    <t xml:space="preserve">3500</t>
  </si>
  <si>
    <t xml:space="preserve">Controle CNC</t>
  </si>
  <si>
    <t xml:space="preserve">FANUC</t>
  </si>
  <si>
    <t xml:space="preserve">Sistema de controle</t>
  </si>
  <si>
    <t xml:space="preserve">Fagor / ISO</t>
  </si>
  <si>
    <t xml:space="preserve">💡  Células amarelas = entrada do operador. Selecione os valores nos menus suspensos.</t>
  </si>
  <si>
    <t xml:space="preserve">📋  SEQUÊNCIA DE OPERAÇÕES  —  G-CODE</t>
  </si>
  <si>
    <t xml:space="preserve">Máquina:</t>
  </si>
  <si>
    <t xml:space="preserve">Seq.</t>
  </si>
  <si>
    <t xml:space="preserve">Operação</t>
  </si>
  <si>
    <t xml:space="preserve">Código G</t>
  </si>
  <si>
    <t xml:space="preserve">X (mm)</t>
  </si>
  <si>
    <t xml:space="preserve">Y (mm)</t>
  </si>
  <si>
    <t xml:space="preserve">Z (mm)</t>
  </si>
  <si>
    <t xml:space="preserve">Prof. Q</t>
  </si>
  <si>
    <t xml:space="preserve">Avanço F</t>
  </si>
  <si>
    <t xml:space="preserve">Rot. S</t>
  </si>
  <si>
    <t xml:space="preserve">Comentário</t>
  </si>
  <si>
    <t xml:space="preserve">Status</t>
  </si>
  <si>
    <t xml:space="preserve">Posicionamento rápido</t>
  </si>
  <si>
    <t xml:space="preserve">G00</t>
  </si>
  <si>
    <t xml:space="preserve">Ponto seguro</t>
  </si>
  <si>
    <t xml:space="preserve">OK</t>
  </si>
  <si>
    <t xml:space="preserve">Ligar spindle</t>
  </si>
  <si>
    <t xml:space="preserve">M03</t>
  </si>
  <si>
    <t xml:space="preserve">Ligar refrigeração M08</t>
  </si>
  <si>
    <t xml:space="preserve">Aproximação rápida</t>
  </si>
  <si>
    <t xml:space="preserve">Sobre a peça</t>
  </si>
  <si>
    <t xml:space="preserve">Furação simples</t>
  </si>
  <si>
    <t xml:space="preserve">G81</t>
  </si>
  <si>
    <t xml:space="preserve">Furo Ø10 raso</t>
  </si>
  <si>
    <t xml:space="preserve">Furação profunda peck</t>
  </si>
  <si>
    <t xml:space="preserve">G83</t>
  </si>
  <si>
    <t xml:space="preserve">Q=bicada 5mm</t>
  </si>
  <si>
    <t xml:space="preserve">Rosqueamento M10</t>
  </si>
  <si>
    <t xml:space="preserve">G84</t>
  </si>
  <si>
    <t xml:space="preserve">Passo 1.75mm</t>
  </si>
  <si>
    <t xml:space="preserve">Contorno linear</t>
  </si>
  <si>
    <t xml:space="preserve">G01</t>
  </si>
  <si>
    <t xml:space="preserve">Acabamento lateral</t>
  </si>
  <si>
    <t xml:space="preserve">Arco horário R15</t>
  </si>
  <si>
    <t xml:space="preserve">G02</t>
  </si>
  <si>
    <t xml:space="preserve">Interpolação circular</t>
  </si>
  <si>
    <t xml:space="preserve">Recuo seguro</t>
  </si>
  <si>
    <t xml:space="preserve">Afasta ferramenta</t>
  </si>
  <si>
    <t xml:space="preserve">Desliga refrigeração</t>
  </si>
  <si>
    <t xml:space="preserve">M09</t>
  </si>
  <si>
    <t xml:space="preserve">Para spindle</t>
  </si>
  <si>
    <t xml:space="preserve">M05</t>
  </si>
  <si>
    <t xml:space="preserve">Fim de programa</t>
  </si>
  <si>
    <t xml:space="preserve">M30</t>
  </si>
  <si>
    <t xml:space="preserve">Reset + Rewind</t>
  </si>
  <si>
    <t xml:space="preserve">🧮  CALCULADORA DE DADOS DE CORTE</t>
  </si>
  <si>
    <t xml:space="preserve">Fórmula / Instrução</t>
  </si>
  <si>
    <t xml:space="preserve">Velocidade de Corte (Vc)</t>
  </si>
  <si>
    <t xml:space="preserve">m/min</t>
  </si>
  <si>
    <t xml:space="preserve">Digite o valor recomendado</t>
  </si>
  <si>
    <t xml:space="preserve">Diâmetro da Ferramenta (D)</t>
  </si>
  <si>
    <t xml:space="preserve">Digite o diâmetro</t>
  </si>
  <si>
    <t xml:space="preserve">Rotação calculada (S)</t>
  </si>
  <si>
    <t xml:space="preserve">S = (Vc×1000) / (π×D)</t>
  </si>
  <si>
    <t xml:space="preserve">Avanço por Dente (fz)</t>
  </si>
  <si>
    <t xml:space="preserve">mm/dente</t>
  </si>
  <si>
    <t xml:space="preserve">Digite o valor</t>
  </si>
  <si>
    <t xml:space="preserve">Nº de Dentes (Z)</t>
  </si>
  <si>
    <t xml:space="preserve">Nº de arestas cortantes</t>
  </si>
  <si>
    <t xml:space="preserve">Avanço calculado (F)</t>
  </si>
  <si>
    <t xml:space="preserve">mm/min</t>
  </si>
  <si>
    <t xml:space="preserve">F = fz × Z × S</t>
  </si>
  <si>
    <t xml:space="preserve">Profundidade de Corte (ap)</t>
  </si>
  <si>
    <t xml:space="preserve">Profundidade axial</t>
  </si>
  <si>
    <t xml:space="preserve">Largura de Corte (ae)</t>
  </si>
  <si>
    <t xml:space="preserve">Engajamento radial</t>
  </si>
  <si>
    <t xml:space="preserve">Potência estimada</t>
  </si>
  <si>
    <t xml:space="preserve">kW</t>
  </si>
  <si>
    <t xml:space="preserve">Estimativa simplificada</t>
  </si>
  <si>
    <t xml:space="preserve">⚠️  Amarelo = entrada  |  Cinza = calculado  |  Vermelho = RPM acima do limite da máquina</t>
  </si>
  <si>
    <t xml:space="preserve">📚  BIBLIOTECA DE CICLOS FIXOS  —  FANUC / ISO</t>
  </si>
  <si>
    <t xml:space="preserve">Ciclo</t>
  </si>
  <si>
    <t xml:space="preserve">Nome</t>
  </si>
  <si>
    <t xml:space="preserve">Sintaxe</t>
  </si>
  <si>
    <t xml:space="preserve">Exemplo</t>
  </si>
  <si>
    <t xml:space="preserve">Explicação Didática</t>
  </si>
  <si>
    <t xml:space="preserve">Furação Simples</t>
  </si>
  <si>
    <t xml:space="preserve">G81 X_ Y_ Z_ R_ F_</t>
  </si>
  <si>
    <t xml:space="preserve">G81 X50 Y30 Z-25 R5 F150</t>
  </si>
  <si>
    <t xml:space="preserve">Fura e retorna rapidamente. Ideal para furos rasos sem quebra de cavaco.</t>
  </si>
  <si>
    <t xml:space="preserve">Furação c/ Peck</t>
  </si>
  <si>
    <t xml:space="preserve">G83 X_ Y_ Z_ R_ Q_ F_</t>
  </si>
  <si>
    <t xml:space="preserve">G83 X50 Y30 Z-50 R5 Q5 F120</t>
  </si>
  <si>
    <t xml:space="preserve">Para furos profundos. Q = peck (profund. de cada bicada). Remove cavaco.</t>
  </si>
  <si>
    <t xml:space="preserve">Rosqueamento</t>
  </si>
  <si>
    <t xml:space="preserve">G84 X_ Y_ Z_ R_ F_</t>
  </si>
  <si>
    <t xml:space="preserve">G84 X50 Y30 Z-25 R5 F175</t>
  </si>
  <si>
    <t xml:space="preserve">F = RPM × Passo. Spindle inverte automaticamente no fundo.</t>
  </si>
  <si>
    <t xml:space="preserve">G73</t>
  </si>
  <si>
    <t xml:space="preserve">Furação c/ quebra</t>
  </si>
  <si>
    <t xml:space="preserve">G73 X_ Y_ Z_ R_ Q_ F_</t>
  </si>
  <si>
    <t xml:space="preserve">G73 X50 Y30 Z-40 R5 Q3 F150</t>
  </si>
  <si>
    <t xml:space="preserve">Semelhante ao G83 mas retorno parcial. Mais rápido p/ materiais friáveis.</t>
  </si>
  <si>
    <t xml:space="preserve">G76</t>
  </si>
  <si>
    <t xml:space="preserve">Mandrilamento fino</t>
  </si>
  <si>
    <t xml:space="preserve">G76 X_ Y_ Z_ R_ Q_ P_ F_</t>
  </si>
  <si>
    <t xml:space="preserve">G76 X50 Z-30 R5 Q0.1 P500 F100</t>
  </si>
  <si>
    <t xml:space="preserve">Mandrilamento de precisão. P=tempo espera. Q=deslocamento na saída.</t>
  </si>
  <si>
    <t xml:space="preserve">G85</t>
  </si>
  <si>
    <t xml:space="preserve">Alargamento</t>
  </si>
  <si>
    <t xml:space="preserve">G85 X_ Y_ Z_ R_ F_</t>
  </si>
  <si>
    <t xml:space="preserve">G85 X50 Y30 Z-20 R5 F80</t>
  </si>
  <si>
    <t xml:space="preserve">Entra e sai com avanço. Acabamento suave do furo.</t>
  </si>
  <si>
    <t xml:space="preserve">Interp. Linear Torno</t>
  </si>
  <si>
    <t xml:space="preserve">G01 X_ Z_ F_</t>
  </si>
  <si>
    <t xml:space="preserve">G01 X50 Z-30 F0.2</t>
  </si>
  <si>
    <t xml:space="preserve">Torneamento linear controlado. Base do ciclo no Ergomat.</t>
  </si>
  <si>
    <t xml:space="preserve">G90</t>
  </si>
  <si>
    <t xml:space="preserve">Ciclo Torneamento</t>
  </si>
  <si>
    <t xml:space="preserve">G90 X_ Z_ F_</t>
  </si>
  <si>
    <t xml:space="preserve">G90 X48 Z-50 F0.2</t>
  </si>
  <si>
    <t xml:space="preserve">Ciclo simples de desbaste externo/interno (ISO).</t>
  </si>
  <si>
    <t xml:space="preserve">G92</t>
  </si>
  <si>
    <t xml:space="preserve">Ciclo Rosqueamento</t>
  </si>
  <si>
    <t xml:space="preserve">G92 X_ Z_ F_</t>
  </si>
  <si>
    <t xml:space="preserve">G92 X29.5 Z-30 F1.5</t>
  </si>
  <si>
    <t xml:space="preserve">F = passo da rosca. Repetir com X decrescente para cada passada.</t>
  </si>
  <si>
    <t xml:space="preserve">G96</t>
  </si>
  <si>
    <t xml:space="preserve">Vel. Corte Constante</t>
  </si>
  <si>
    <t xml:space="preserve">G96 S_ M03</t>
  </si>
  <si>
    <t xml:space="preserve">G96 S200 M03</t>
  </si>
  <si>
    <t xml:space="preserve">RPM varia para manter Vc constante. Ótimo para acabamento.</t>
  </si>
  <si>
    <t xml:space="preserve">G97</t>
  </si>
  <si>
    <t xml:space="preserve">RPM Fixo</t>
  </si>
  <si>
    <t xml:space="preserve">G97 S_ M03</t>
  </si>
  <si>
    <t xml:space="preserve">G97 S1200 M03</t>
  </si>
  <si>
    <t xml:space="preserve">RPM constante. Usar para roscas e furação.</t>
  </si>
  <si>
    <t xml:space="preserve">Arco Horário</t>
  </si>
  <si>
    <t xml:space="preserve">G02 X_ Z_ R_ F_</t>
  </si>
  <si>
    <t xml:space="preserve">G02 X40 Z-20 R10 F120</t>
  </si>
  <si>
    <t xml:space="preserve">Interpolação circular horária. Use R ou I/K.</t>
  </si>
  <si>
    <t xml:space="preserve">G03</t>
  </si>
  <si>
    <t xml:space="preserve">Arco Anti-Horário</t>
  </si>
  <si>
    <t xml:space="preserve">G03 X_ Z_ R_ F_</t>
  </si>
  <si>
    <t xml:space="preserve">G03 X40 Z-20 R10 F120</t>
  </si>
  <si>
    <t xml:space="preserve">Interpolação circular anti-horária.</t>
  </si>
  <si>
    <t xml:space="preserve">🔵 Azul = ROMI D600 (FANUC)  |  🟡 Amarelo = Ergomat TND 200 (ISO)  |  🟣 Lilás = Ambas as máquinas</t>
  </si>
  <si>
    <t xml:space="preserve">📄  PROGRAMA G-CODE GERADO AUTOMATICAMENTE</t>
  </si>
  <si>
    <t xml:space="preserve">G-Code</t>
  </si>
  <si>
    <t xml:space="preserve">Origem</t>
  </si>
  <si>
    <t xml:space="preserve">%</t>
  </si>
  <si>
    <t xml:space="preserve">Fixo</t>
  </si>
  <si>
    <t xml:space="preserve">Início do arquivo</t>
  </si>
  <si>
    <t xml:space="preserve">O0001</t>
  </si>
  <si>
    <t xml:space="preserve">Número do programa</t>
  </si>
  <si>
    <t xml:space="preserve">(PROG: ROMI D600 - CNC)</t>
  </si>
  <si>
    <t xml:space="preserve">Comentário descritivo</t>
  </si>
  <si>
    <t xml:space="preserve">G90 G54 G17 G40 G80</t>
  </si>
  <si>
    <t xml:space="preserve">Linha de segurança</t>
  </si>
  <si>
    <t xml:space="preserve">G21</t>
  </si>
  <si>
    <t xml:space="preserve">Unidade: milímetros</t>
  </si>
  <si>
    <t xml:space="preserve">T1 M06</t>
  </si>
  <si>
    <t xml:space="preserve">Painel B6</t>
  </si>
  <si>
    <t xml:space="preserve">Chama ferramenta</t>
  </si>
  <si>
    <t xml:space="preserve">G43 H1</t>
  </si>
  <si>
    <t xml:space="preserve">Painel B7</t>
  </si>
  <si>
    <t xml:space="preserve">Corretor de comprimento</t>
  </si>
  <si>
    <t xml:space="preserve">M08</t>
  </si>
  <si>
    <t xml:space="preserve">Liga refrigeração</t>
  </si>
  <si>
    <t xml:space="preserve">Operações L4</t>
  </si>
  <si>
    <t xml:space="preserve">Operações L5</t>
  </si>
  <si>
    <t xml:space="preserve">Operações L6</t>
  </si>
  <si>
    <t xml:space="preserve">Operações L7</t>
  </si>
  <si>
    <t xml:space="preserve">Operações L8</t>
  </si>
  <si>
    <t xml:space="preserve">Operações L9</t>
  </si>
  <si>
    <t xml:space="preserve">Operações L10</t>
  </si>
  <si>
    <t xml:space="preserve">Operações L11</t>
  </si>
  <si>
    <t xml:space="preserve">Operações L12</t>
  </si>
  <si>
    <t xml:space="preserve">Operações L13</t>
  </si>
  <si>
    <t xml:space="preserve">Operações L14</t>
  </si>
  <si>
    <t xml:space="preserve">Operações L15</t>
  </si>
  <si>
    <t xml:space="preserve">Fim + Rewind</t>
  </si>
  <si>
    <t xml:space="preserve">Fim do arquivo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</si>
</sst>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2"/>
      <color rgb="FF90CAF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B0BEC5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444444"/>
      <name val="Arial"/>
      <family val="0"/>
      <charset val="1"/>
    </font>
    <font>
      <i val="true"/>
      <sz val="9"/>
      <color rgb="FF444444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1B5E20"/>
      <name val="Courier New"/>
      <family val="0"/>
      <charset val="1"/>
    </font>
    <font>
      <sz val="9"/>
      <color rgb="FF555555"/>
      <name val="Arial"/>
      <family val="0"/>
      <charset val="1"/>
    </font>
    <font>
      <sz val="10"/>
      <color rgb="FF0D47A1"/>
      <name val="Courier New"/>
      <family val="0"/>
      <charset val="1"/>
    </font>
    <font>
      <sz val="10"/>
      <color rgb="FFB71C1C"/>
      <name val="Courier New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A3A5C"/>
        <bgColor rgb="FF263238"/>
      </patternFill>
    </fill>
    <fill>
      <patternFill patternType="solid">
        <fgColor rgb="FF2B6CB0"/>
        <bgColor rgb="FF1565C0"/>
      </patternFill>
    </fill>
    <fill>
      <patternFill patternType="solid">
        <fgColor rgb="FF263238"/>
        <bgColor rgb="FF1A3A5C"/>
      </patternFill>
    </fill>
    <fill>
      <patternFill patternType="solid">
        <fgColor rgb="FF1565C0"/>
        <bgColor rgb="FF2B6CB0"/>
      </patternFill>
    </fill>
    <fill>
      <patternFill patternType="solid">
        <fgColor rgb="FF1B5E20"/>
        <bgColor rgb="FF444444"/>
      </patternFill>
    </fill>
    <fill>
      <patternFill patternType="solid">
        <fgColor rgb="FF4A148C"/>
        <bgColor rgb="FF800080"/>
      </patternFill>
    </fill>
    <fill>
      <patternFill patternType="solid">
        <fgColor rgb="FFB71C1C"/>
        <bgColor rgb="FF993366"/>
      </patternFill>
    </fill>
    <fill>
      <patternFill patternType="solid">
        <fgColor rgb="FFEBF4FB"/>
        <bgColor rgb="FFF5F5F5"/>
      </patternFill>
    </fill>
    <fill>
      <patternFill patternType="solid">
        <fgColor rgb="FFFFF59D"/>
        <bgColor rgb="FFFFF9C4"/>
      </patternFill>
    </fill>
    <fill>
      <patternFill patternType="solid">
        <fgColor rgb="FFFFFFFF"/>
        <bgColor rgb="FFFFFDE7"/>
      </patternFill>
    </fill>
    <fill>
      <patternFill patternType="solid">
        <fgColor rgb="FFD6E8F7"/>
        <bgColor rgb="FFEBF4FB"/>
      </patternFill>
    </fill>
    <fill>
      <patternFill patternType="solid">
        <fgColor rgb="FFFFFDE7"/>
        <bgColor rgb="FFFFFFFF"/>
      </patternFill>
    </fill>
    <fill>
      <patternFill patternType="solid">
        <fgColor rgb="FFF5F5F5"/>
        <bgColor rgb="FFF1F8E9"/>
      </patternFill>
    </fill>
    <fill>
      <patternFill patternType="solid">
        <fgColor rgb="FFFFF9C4"/>
        <bgColor rgb="FFFFFDE7"/>
      </patternFill>
    </fill>
    <fill>
      <patternFill patternType="solid">
        <fgColor rgb="FFF3E5F5"/>
        <bgColor rgb="FFFFEBEE"/>
      </patternFill>
    </fill>
    <fill>
      <patternFill patternType="solid">
        <fgColor rgb="FFF1F8E9"/>
        <bgColor rgb="FFF5F5F5"/>
      </patternFill>
    </fill>
    <fill>
      <patternFill patternType="solid">
        <fgColor rgb="FFFFEBEE"/>
        <bgColor rgb="FFF3E5F5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A3A5C"/>
      </left>
      <right/>
      <top style="medium">
        <color rgb="FF1A3A5C"/>
      </top>
      <bottom/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  <border diagonalUp="false" diagonalDown="false">
      <left style="medium">
        <color rgb="FF1A3A5C"/>
      </left>
      <right/>
      <top style="medium">
        <color rgb="FF1A3A5C"/>
      </top>
      <bottom style="medium">
        <color rgb="FF1A3A5C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1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8E6C9"/>
        </patternFill>
      </fill>
    </dxf>
    <dxf>
      <fill>
        <patternFill>
          <bgColor rgb="FFFFCDD2"/>
        </patternFill>
      </fill>
    </dxf>
    <dxf>
      <fill>
        <patternFill>
          <bgColor rgb="FFFF525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DE7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BBBBB"/>
      <rgbColor rgb="FF808080"/>
      <rgbColor rgb="FFF5F5F5"/>
      <rgbColor rgb="FF993366"/>
      <rgbColor rgb="FFFFF9C4"/>
      <rgbColor rgb="FFD6E8F7"/>
      <rgbColor rgb="FF4A148C"/>
      <rgbColor rgb="FFFF8080"/>
      <rgbColor rgb="FF1565C0"/>
      <rgbColor rgb="FFB0BEC5"/>
      <rgbColor rgb="FF000080"/>
      <rgbColor rgb="FFFF00FF"/>
      <rgbColor rgb="FFF1F8E9"/>
      <rgbColor rgb="FF00FFFF"/>
      <rgbColor rgb="FF800080"/>
      <rgbColor rgb="FF800000"/>
      <rgbColor rgb="FF008080"/>
      <rgbColor rgb="FF0000FF"/>
      <rgbColor rgb="FF00CCFF"/>
      <rgbColor rgb="FFEBF4FB"/>
      <rgbColor rgb="FFC8E6C9"/>
      <rgbColor rgb="FFFFF59D"/>
      <rgbColor rgb="FF90CAF9"/>
      <rgbColor rgb="FFF3E5F5"/>
      <rgbColor rgb="FFFFEBEE"/>
      <rgbColor rgb="FFFFCDD2"/>
      <rgbColor rgb="FF2B6CB0"/>
      <rgbColor rgb="FF33CCCC"/>
      <rgbColor rgb="FF99CC00"/>
      <rgbColor rgb="FFFFCC00"/>
      <rgbColor rgb="FFFF9900"/>
      <rgbColor rgb="FFFF5252"/>
      <rgbColor rgb="FF555555"/>
      <rgbColor rgb="FF969696"/>
      <rgbColor rgb="FF1A3A5C"/>
      <rgbColor rgb="FF339966"/>
      <rgbColor rgb="FF003300"/>
      <rgbColor rgb="FF444444"/>
      <rgbColor rgb="FFB71C1C"/>
      <rgbColor rgb="FF993366"/>
      <rgbColor rgb="FF0D47A1"/>
      <rgbColor rgb="FF2632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A5C"/>
    <pageSetUpPr fitToPage="false"/>
  </sheetPr>
  <dimension ref="A1:G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"/>
    <col collapsed="false" customWidth="true" hidden="false" outlineLevel="0" max="6" min="3" style="0" width="14"/>
    <col collapsed="false" customWidth="true" hidden="false" outlineLevel="0" max="7" min="7" style="0" width="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15" hidden="false" customHeight="true" outlineLevel="0" collapsed="false">
      <c r="A4" s="2" t="s">
        <v>1</v>
      </c>
      <c r="B4" s="2"/>
      <c r="C4" s="2"/>
      <c r="D4" s="2"/>
      <c r="E4" s="2"/>
      <c r="F4" s="2"/>
      <c r="G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</row>
    <row r="7" customFormat="false" ht="15" hidden="false" customHeight="true" outlineLevel="0" collapsed="false">
      <c r="A7" s="3"/>
      <c r="B7" s="4" t="s">
        <v>2</v>
      </c>
      <c r="C7" s="4"/>
      <c r="D7" s="4"/>
      <c r="E7" s="4"/>
      <c r="F7" s="4"/>
      <c r="G7" s="3"/>
    </row>
    <row r="8" customFormat="false" ht="15" hidden="false" customHeight="true" outlineLevel="0" collapsed="false">
      <c r="A8" s="3"/>
      <c r="B8" s="4"/>
      <c r="C8" s="4"/>
      <c r="D8" s="4"/>
      <c r="E8" s="4"/>
      <c r="F8" s="4"/>
      <c r="G8" s="3"/>
    </row>
    <row r="9" customFormat="false" ht="15" hidden="false" customHeight="true" outlineLevel="0" collapsed="false">
      <c r="A9" s="3"/>
      <c r="B9" s="5" t="s">
        <v>3</v>
      </c>
      <c r="C9" s="5"/>
      <c r="D9" s="5"/>
      <c r="E9" s="5"/>
      <c r="F9" s="5"/>
      <c r="G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</row>
    <row r="11" customFormat="false" ht="15" hidden="false" customHeight="true" outlineLevel="0" collapsed="false">
      <c r="A11" s="3"/>
      <c r="B11" s="6" t="s">
        <v>4</v>
      </c>
      <c r="C11" s="6"/>
      <c r="D11" s="6"/>
      <c r="E11" s="6"/>
      <c r="F11" s="6"/>
      <c r="G11" s="3"/>
    </row>
    <row r="12" customFormat="false" ht="15" hidden="false" customHeight="true" outlineLevel="0" collapsed="false">
      <c r="A12" s="3"/>
      <c r="B12" s="6"/>
      <c r="C12" s="6"/>
      <c r="D12" s="6"/>
      <c r="E12" s="6"/>
      <c r="F12" s="6"/>
      <c r="G12" s="3"/>
    </row>
    <row r="13" customFormat="false" ht="15" hidden="false" customHeight="true" outlineLevel="0" collapsed="false">
      <c r="A13" s="3"/>
      <c r="B13" s="5" t="s">
        <v>5</v>
      </c>
      <c r="C13" s="5"/>
      <c r="D13" s="5"/>
      <c r="E13" s="5"/>
      <c r="F13" s="5"/>
      <c r="G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</row>
    <row r="15" customFormat="false" ht="15" hidden="false" customHeight="true" outlineLevel="0" collapsed="false">
      <c r="A15" s="3"/>
      <c r="B15" s="7" t="s">
        <v>6</v>
      </c>
      <c r="C15" s="7"/>
      <c r="D15" s="7"/>
      <c r="E15" s="7"/>
      <c r="F15" s="7"/>
      <c r="G15" s="3"/>
    </row>
    <row r="16" customFormat="false" ht="15" hidden="false" customHeight="true" outlineLevel="0" collapsed="false">
      <c r="A16" s="3"/>
      <c r="B16" s="7"/>
      <c r="C16" s="7"/>
      <c r="D16" s="7"/>
      <c r="E16" s="7"/>
      <c r="F16" s="7"/>
      <c r="G16" s="3"/>
    </row>
    <row r="17" customFormat="false" ht="15" hidden="false" customHeight="true" outlineLevel="0" collapsed="false">
      <c r="A17" s="3"/>
      <c r="B17" s="5" t="s">
        <v>7</v>
      </c>
      <c r="C17" s="5"/>
      <c r="D17" s="5"/>
      <c r="E17" s="5"/>
      <c r="F17" s="5"/>
      <c r="G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</row>
    <row r="19" customFormat="false" ht="15" hidden="false" customHeight="true" outlineLevel="0" collapsed="false">
      <c r="A19" s="3"/>
      <c r="B19" s="8" t="s">
        <v>8</v>
      </c>
      <c r="C19" s="8"/>
      <c r="D19" s="8"/>
      <c r="E19" s="8"/>
      <c r="F19" s="8"/>
      <c r="G19" s="3"/>
    </row>
    <row r="20" customFormat="false" ht="15" hidden="false" customHeight="true" outlineLevel="0" collapsed="false">
      <c r="A20" s="3"/>
      <c r="B20" s="8"/>
      <c r="C20" s="8"/>
      <c r="D20" s="8"/>
      <c r="E20" s="8"/>
      <c r="F20" s="8"/>
      <c r="G20" s="3"/>
    </row>
    <row r="21" customFormat="false" ht="15" hidden="false" customHeight="true" outlineLevel="0" collapsed="false">
      <c r="A21" s="3"/>
      <c r="B21" s="5" t="s">
        <v>9</v>
      </c>
      <c r="C21" s="5"/>
      <c r="D21" s="5"/>
      <c r="E21" s="5"/>
      <c r="F21" s="5"/>
      <c r="G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</row>
    <row r="23" customFormat="false" ht="15" hidden="false" customHeight="true" outlineLevel="0" collapsed="false">
      <c r="A23" s="3"/>
      <c r="B23" s="9" t="s">
        <v>10</v>
      </c>
      <c r="C23" s="9"/>
      <c r="D23" s="9"/>
      <c r="E23" s="9"/>
      <c r="F23" s="9"/>
      <c r="G23" s="3"/>
    </row>
    <row r="24" customFormat="false" ht="15" hidden="false" customHeight="true" outlineLevel="0" collapsed="false">
      <c r="A24" s="3"/>
      <c r="B24" s="9"/>
      <c r="C24" s="9"/>
      <c r="D24" s="9"/>
      <c r="E24" s="9"/>
      <c r="F24" s="9"/>
      <c r="G24" s="3"/>
    </row>
    <row r="25" customFormat="false" ht="15" hidden="false" customHeight="true" outlineLevel="0" collapsed="false">
      <c r="A25" s="3"/>
      <c r="B25" s="5" t="s">
        <v>11</v>
      </c>
      <c r="C25" s="5"/>
      <c r="D25" s="5"/>
      <c r="E25" s="5"/>
      <c r="F25" s="5"/>
      <c r="G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</row>
  </sheetData>
  <mergeCells count="12">
    <mergeCell ref="A1:G3"/>
    <mergeCell ref="A4:G5"/>
    <mergeCell ref="B7:F8"/>
    <mergeCell ref="B9:F9"/>
    <mergeCell ref="B11:F12"/>
    <mergeCell ref="B13:F13"/>
    <mergeCell ref="B15:F16"/>
    <mergeCell ref="B17:F17"/>
    <mergeCell ref="B19:F20"/>
    <mergeCell ref="B21:F21"/>
    <mergeCell ref="B23:F24"/>
    <mergeCell ref="B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6CB0"/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30"/>
    <col collapsed="false" customWidth="true" hidden="false" outlineLevel="0" max="6" min="6" style="0" width="14"/>
  </cols>
  <sheetData>
    <row r="1" customFormat="false" ht="36" hidden="false" customHeight="true" outlineLevel="0" collapsed="false">
      <c r="A1" s="10" t="s">
        <v>12</v>
      </c>
      <c r="B1" s="10"/>
      <c r="C1" s="10"/>
      <c r="D1" s="10"/>
      <c r="E1" s="10"/>
      <c r="F1" s="10"/>
    </row>
    <row r="3" customFormat="false" ht="19.5" hidden="false" customHeight="true" outlineLevel="0" collapsed="false">
      <c r="A3" s="11" t="s">
        <v>13</v>
      </c>
      <c r="B3" s="11" t="s">
        <v>14</v>
      </c>
      <c r="C3" s="11" t="s">
        <v>15</v>
      </c>
      <c r="D3" s="11" t="s">
        <v>16</v>
      </c>
      <c r="E3" s="11" t="s">
        <v>17</v>
      </c>
      <c r="F3" s="11" t="s">
        <v>18</v>
      </c>
    </row>
    <row r="4" customFormat="false" ht="15.75" hidden="false" customHeight="true" outlineLevel="0" collapsed="false">
      <c r="A4" s="12" t="s">
        <v>19</v>
      </c>
      <c r="B4" s="13" t="s">
        <v>20</v>
      </c>
      <c r="C4" s="12" t="s">
        <v>21</v>
      </c>
      <c r="D4" s="12" t="s">
        <v>22</v>
      </c>
      <c r="E4" s="12" t="s">
        <v>23</v>
      </c>
      <c r="F4" s="12"/>
    </row>
    <row r="5" customFormat="false" ht="15.75" hidden="false" customHeight="true" outlineLevel="0" collapsed="false">
      <c r="A5" s="14" t="s">
        <v>24</v>
      </c>
      <c r="B5" s="13" t="s">
        <v>25</v>
      </c>
      <c r="C5" s="14" t="s">
        <v>21</v>
      </c>
      <c r="D5" s="14" t="s">
        <v>22</v>
      </c>
      <c r="E5" s="14" t="s">
        <v>26</v>
      </c>
      <c r="F5" s="14"/>
    </row>
    <row r="6" customFormat="false" ht="15.75" hidden="false" customHeight="true" outlineLevel="0" collapsed="false">
      <c r="A6" s="12" t="s">
        <v>27</v>
      </c>
      <c r="B6" s="13" t="s">
        <v>25</v>
      </c>
      <c r="C6" s="12" t="s">
        <v>21</v>
      </c>
      <c r="D6" s="12" t="s">
        <v>22</v>
      </c>
      <c r="E6" s="12" t="s">
        <v>28</v>
      </c>
      <c r="F6" s="12"/>
    </row>
    <row r="7" customFormat="false" ht="15.75" hidden="false" customHeight="true" outlineLevel="0" collapsed="false">
      <c r="A7" s="14" t="s">
        <v>29</v>
      </c>
      <c r="B7" s="13" t="s">
        <v>30</v>
      </c>
      <c r="C7" s="14" t="s">
        <v>21</v>
      </c>
      <c r="D7" s="14" t="s">
        <v>22</v>
      </c>
      <c r="E7" s="14" t="s">
        <v>31</v>
      </c>
      <c r="F7" s="14"/>
    </row>
    <row r="8" customFormat="false" ht="15.75" hidden="false" customHeight="true" outlineLevel="0" collapsed="false">
      <c r="A8" s="12" t="s">
        <v>32</v>
      </c>
      <c r="B8" s="13" t="s">
        <v>33</v>
      </c>
      <c r="C8" s="12" t="s">
        <v>34</v>
      </c>
      <c r="D8" s="12" t="s">
        <v>35</v>
      </c>
      <c r="E8" s="12" t="s">
        <v>36</v>
      </c>
      <c r="F8" s="12"/>
    </row>
    <row r="9" customFormat="false" ht="15.75" hidden="false" customHeight="true" outlineLevel="0" collapsed="false">
      <c r="A9" s="14" t="s">
        <v>37</v>
      </c>
      <c r="B9" s="13" t="s">
        <v>33</v>
      </c>
      <c r="C9" s="14" t="s">
        <v>34</v>
      </c>
      <c r="D9" s="14" t="s">
        <v>35</v>
      </c>
      <c r="E9" s="14" t="s">
        <v>38</v>
      </c>
      <c r="F9" s="14"/>
    </row>
    <row r="10" customFormat="false" ht="15.75" hidden="false" customHeight="true" outlineLevel="0" collapsed="false">
      <c r="A10" s="12" t="s">
        <v>39</v>
      </c>
      <c r="B10" s="13" t="s">
        <v>33</v>
      </c>
      <c r="C10" s="12" t="s">
        <v>34</v>
      </c>
      <c r="D10" s="12" t="s">
        <v>35</v>
      </c>
      <c r="E10" s="12" t="s">
        <v>40</v>
      </c>
      <c r="F10" s="12"/>
    </row>
    <row r="11" customFormat="false" ht="15.75" hidden="false" customHeight="true" outlineLevel="0" collapsed="false">
      <c r="A11" s="14" t="s">
        <v>32</v>
      </c>
      <c r="B11" s="13" t="s">
        <v>33</v>
      </c>
      <c r="C11" s="14" t="s">
        <v>34</v>
      </c>
      <c r="D11" s="14" t="s">
        <v>41</v>
      </c>
      <c r="E11" s="14" t="s">
        <v>36</v>
      </c>
      <c r="F11" s="14"/>
    </row>
    <row r="12" customFormat="false" ht="15.75" hidden="false" customHeight="true" outlineLevel="0" collapsed="false">
      <c r="A12" s="12" t="s">
        <v>39</v>
      </c>
      <c r="B12" s="13" t="s">
        <v>33</v>
      </c>
      <c r="C12" s="12" t="s">
        <v>34</v>
      </c>
      <c r="D12" s="12" t="s">
        <v>41</v>
      </c>
      <c r="E12" s="12" t="s">
        <v>40</v>
      </c>
      <c r="F12" s="12"/>
    </row>
    <row r="13" customFormat="false" ht="15.75" hidden="false" customHeight="true" outlineLevel="0" collapsed="false">
      <c r="A13" s="14" t="s">
        <v>42</v>
      </c>
      <c r="B13" s="13" t="s">
        <v>43</v>
      </c>
      <c r="C13" s="14" t="s">
        <v>44</v>
      </c>
      <c r="D13" s="14" t="s">
        <v>35</v>
      </c>
      <c r="E13" s="14" t="s">
        <v>45</v>
      </c>
      <c r="F13" s="14"/>
    </row>
    <row r="14" customFormat="false" ht="15.75" hidden="false" customHeight="true" outlineLevel="0" collapsed="false">
      <c r="A14" s="12" t="s">
        <v>42</v>
      </c>
      <c r="B14" s="13" t="s">
        <v>46</v>
      </c>
      <c r="C14" s="12" t="s">
        <v>44</v>
      </c>
      <c r="D14" s="12" t="s">
        <v>41</v>
      </c>
      <c r="E14" s="12" t="s">
        <v>45</v>
      </c>
      <c r="F14" s="12"/>
    </row>
    <row r="15" customFormat="false" ht="15.75" hidden="false" customHeight="true" outlineLevel="0" collapsed="false">
      <c r="A15" s="14" t="s">
        <v>47</v>
      </c>
      <c r="B15" s="13" t="s">
        <v>48</v>
      </c>
      <c r="C15" s="14" t="s">
        <v>21</v>
      </c>
      <c r="D15" s="14" t="s">
        <v>35</v>
      </c>
      <c r="E15" s="14" t="s">
        <v>49</v>
      </c>
      <c r="F15" s="14"/>
    </row>
    <row r="16" customFormat="false" ht="15.75" hidden="false" customHeight="true" outlineLevel="0" collapsed="false">
      <c r="A16" s="12" t="s">
        <v>47</v>
      </c>
      <c r="B16" s="13" t="s">
        <v>50</v>
      </c>
      <c r="C16" s="12" t="s">
        <v>21</v>
      </c>
      <c r="D16" s="12" t="s">
        <v>41</v>
      </c>
      <c r="E16" s="12" t="s">
        <v>49</v>
      </c>
      <c r="F16" s="12"/>
    </row>
    <row r="18" customFormat="false" ht="15" hidden="false" customHeight="true" outlineLevel="0" collapsed="false">
      <c r="A18" s="15" t="s">
        <v>51</v>
      </c>
      <c r="B18" s="15"/>
      <c r="C18" s="15"/>
      <c r="D18" s="15"/>
      <c r="E18" s="15"/>
      <c r="F18" s="15"/>
    </row>
  </sheetData>
  <mergeCells count="2">
    <mergeCell ref="A1:F1"/>
    <mergeCell ref="A18:F18"/>
  </mergeCells>
  <dataValidations count="2">
    <dataValidation allowBlank="true" errorStyle="stop" operator="between" showDropDown="false" showErrorMessage="false" showInputMessage="false" sqref="B4" type="list">
      <formula1>"Aço 1045,Aço 1020,Alumínio 6061,Ferro Fundido,Inox 304,Bronze,Latão,Titânio"</formula1>
      <formula2>0</formula2>
    </dataValidation>
    <dataValidation allowBlank="true" errorStyle="stop" operator="between" showDropDown="false" showErrorMessage="false" showInputMessage="false" sqref="B7" type="list">
      <formula1>"Desbaste,Acabamento,Furação,Rosqueamento,Faceamento,Mandrilamento"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K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7" min="4" style="0" width="8"/>
    <col collapsed="false" customWidth="true" hidden="false" outlineLevel="0" max="9" min="8" style="0" width="10"/>
    <col collapsed="false" customWidth="true" hidden="false" outlineLevel="0" max="10" min="10" style="0" width="28"/>
    <col collapsed="false" customWidth="true" hidden="false" outlineLevel="0" max="11" min="11" style="0" width="10"/>
  </cols>
  <sheetData>
    <row r="1" customFormat="false" ht="36" hidden="false" customHeight="true" outlineLevel="0" collapsed="false">
      <c r="A1" s="10" t="s">
        <v>52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customFormat="false" ht="18" hidden="false" customHeight="true" outlineLevel="0" collapsed="false">
      <c r="A2" s="16" t="s">
        <v>53</v>
      </c>
      <c r="B2" s="16"/>
      <c r="C2" s="16"/>
      <c r="D2" s="17" t="s">
        <v>35</v>
      </c>
      <c r="E2" s="17"/>
      <c r="F2" s="17"/>
    </row>
    <row r="3" customFormat="false" ht="19.5" hidden="false" customHeight="true" outlineLevel="0" collapsed="false">
      <c r="A3" s="11" t="s">
        <v>54</v>
      </c>
      <c r="B3" s="11" t="s">
        <v>55</v>
      </c>
      <c r="C3" s="11" t="s">
        <v>56</v>
      </c>
      <c r="D3" s="11" t="s">
        <v>57</v>
      </c>
      <c r="E3" s="11" t="s">
        <v>58</v>
      </c>
      <c r="F3" s="11" t="s">
        <v>59</v>
      </c>
      <c r="G3" s="11" t="s">
        <v>60</v>
      </c>
      <c r="H3" s="11" t="s">
        <v>61</v>
      </c>
      <c r="I3" s="11" t="s">
        <v>62</v>
      </c>
      <c r="J3" s="11" t="s">
        <v>63</v>
      </c>
      <c r="K3" s="11" t="s">
        <v>64</v>
      </c>
    </row>
    <row r="4" customFormat="false" ht="15.75" hidden="false" customHeight="true" outlineLevel="0" collapsed="false">
      <c r="A4" s="12" t="n">
        <v>10</v>
      </c>
      <c r="B4" s="12" t="s">
        <v>65</v>
      </c>
      <c r="C4" s="12" t="s">
        <v>66</v>
      </c>
      <c r="D4" s="18" t="n">
        <v>0</v>
      </c>
      <c r="E4" s="18" t="n">
        <v>0</v>
      </c>
      <c r="F4" s="18" t="n">
        <v>50</v>
      </c>
      <c r="G4" s="18"/>
      <c r="H4" s="18"/>
      <c r="I4" s="18"/>
      <c r="J4" s="12" t="s">
        <v>67</v>
      </c>
      <c r="K4" s="12" t="s">
        <v>68</v>
      </c>
    </row>
    <row r="5" customFormat="false" ht="15.75" hidden="false" customHeight="true" outlineLevel="0" collapsed="false">
      <c r="A5" s="14" t="n">
        <v>20</v>
      </c>
      <c r="B5" s="14" t="s">
        <v>69</v>
      </c>
      <c r="C5" s="14" t="s">
        <v>70</v>
      </c>
      <c r="D5" s="18"/>
      <c r="E5" s="18"/>
      <c r="F5" s="18"/>
      <c r="G5" s="18"/>
      <c r="H5" s="18"/>
      <c r="I5" s="18" t="n">
        <v>1200</v>
      </c>
      <c r="J5" s="14" t="s">
        <v>71</v>
      </c>
      <c r="K5" s="14" t="s">
        <v>68</v>
      </c>
    </row>
    <row r="6" customFormat="false" ht="15.75" hidden="false" customHeight="true" outlineLevel="0" collapsed="false">
      <c r="A6" s="12" t="n">
        <v>30</v>
      </c>
      <c r="B6" s="12" t="s">
        <v>72</v>
      </c>
      <c r="C6" s="12" t="s">
        <v>66</v>
      </c>
      <c r="D6" s="18" t="n">
        <v>100</v>
      </c>
      <c r="E6" s="18" t="n">
        <v>50</v>
      </c>
      <c r="F6" s="18" t="n">
        <v>5</v>
      </c>
      <c r="G6" s="18"/>
      <c r="H6" s="18"/>
      <c r="I6" s="18"/>
      <c r="J6" s="12" t="s">
        <v>73</v>
      </c>
      <c r="K6" s="12" t="s">
        <v>68</v>
      </c>
    </row>
    <row r="7" customFormat="false" ht="15.75" hidden="false" customHeight="true" outlineLevel="0" collapsed="false">
      <c r="A7" s="14" t="n">
        <v>40</v>
      </c>
      <c r="B7" s="14" t="s">
        <v>74</v>
      </c>
      <c r="C7" s="14" t="s">
        <v>75</v>
      </c>
      <c r="D7" s="18" t="n">
        <v>100</v>
      </c>
      <c r="E7" s="18" t="n">
        <v>50</v>
      </c>
      <c r="F7" s="18" t="n">
        <v>-20</v>
      </c>
      <c r="G7" s="18"/>
      <c r="H7" s="18" t="n">
        <v>150</v>
      </c>
      <c r="I7" s="18" t="n">
        <v>1200</v>
      </c>
      <c r="J7" s="14" t="s">
        <v>76</v>
      </c>
      <c r="K7" s="14" t="s">
        <v>68</v>
      </c>
    </row>
    <row r="8" customFormat="false" ht="15.75" hidden="false" customHeight="true" outlineLevel="0" collapsed="false">
      <c r="A8" s="12" t="n">
        <v>50</v>
      </c>
      <c r="B8" s="12" t="s">
        <v>77</v>
      </c>
      <c r="C8" s="12" t="s">
        <v>78</v>
      </c>
      <c r="D8" s="18" t="n">
        <v>100</v>
      </c>
      <c r="E8" s="18" t="n">
        <v>80</v>
      </c>
      <c r="F8" s="18" t="n">
        <v>-50</v>
      </c>
      <c r="G8" s="18" t="n">
        <v>5</v>
      </c>
      <c r="H8" s="18" t="n">
        <v>120</v>
      </c>
      <c r="I8" s="18" t="n">
        <v>1000</v>
      </c>
      <c r="J8" s="12" t="s">
        <v>79</v>
      </c>
      <c r="K8" s="12" t="s">
        <v>68</v>
      </c>
    </row>
    <row r="9" customFormat="false" ht="15.75" hidden="false" customHeight="true" outlineLevel="0" collapsed="false">
      <c r="A9" s="14" t="n">
        <v>60</v>
      </c>
      <c r="B9" s="14" t="s">
        <v>80</v>
      </c>
      <c r="C9" s="14" t="s">
        <v>81</v>
      </c>
      <c r="D9" s="18" t="n">
        <v>120</v>
      </c>
      <c r="E9" s="18" t="n">
        <v>60</v>
      </c>
      <c r="F9" s="18" t="n">
        <v>-25</v>
      </c>
      <c r="G9" s="18"/>
      <c r="H9" s="18" t="n">
        <v>175</v>
      </c>
      <c r="I9" s="18" t="n">
        <v>800</v>
      </c>
      <c r="J9" s="14" t="s">
        <v>82</v>
      </c>
      <c r="K9" s="14" t="s">
        <v>68</v>
      </c>
    </row>
    <row r="10" customFormat="false" ht="15.75" hidden="false" customHeight="true" outlineLevel="0" collapsed="false">
      <c r="A10" s="12" t="n">
        <v>70</v>
      </c>
      <c r="B10" s="12" t="s">
        <v>83</v>
      </c>
      <c r="C10" s="12" t="s">
        <v>84</v>
      </c>
      <c r="D10" s="18" t="n">
        <v>150</v>
      </c>
      <c r="E10" s="18" t="n">
        <v>100</v>
      </c>
      <c r="F10" s="18" t="n">
        <v>-5</v>
      </c>
      <c r="G10" s="18"/>
      <c r="H10" s="18" t="n">
        <v>200</v>
      </c>
      <c r="I10" s="18" t="n">
        <v>1500</v>
      </c>
      <c r="J10" s="12" t="s">
        <v>85</v>
      </c>
      <c r="K10" s="12" t="s">
        <v>68</v>
      </c>
    </row>
    <row r="11" customFormat="false" ht="15.75" hidden="false" customHeight="true" outlineLevel="0" collapsed="false">
      <c r="A11" s="14" t="n">
        <v>80</v>
      </c>
      <c r="B11" s="14" t="s">
        <v>86</v>
      </c>
      <c r="C11" s="14" t="s">
        <v>87</v>
      </c>
      <c r="D11" s="18" t="n">
        <v>180</v>
      </c>
      <c r="E11" s="18" t="n">
        <v>120</v>
      </c>
      <c r="F11" s="18" t="n">
        <v>-5</v>
      </c>
      <c r="G11" s="18"/>
      <c r="H11" s="18" t="n">
        <v>180</v>
      </c>
      <c r="I11" s="18" t="n">
        <v>1500</v>
      </c>
      <c r="J11" s="14" t="s">
        <v>88</v>
      </c>
      <c r="K11" s="14" t="s">
        <v>68</v>
      </c>
    </row>
    <row r="12" customFormat="false" ht="15.75" hidden="false" customHeight="true" outlineLevel="0" collapsed="false">
      <c r="A12" s="12" t="n">
        <v>90</v>
      </c>
      <c r="B12" s="12" t="s">
        <v>89</v>
      </c>
      <c r="C12" s="12" t="s">
        <v>66</v>
      </c>
      <c r="D12" s="18" t="n">
        <v>0</v>
      </c>
      <c r="E12" s="18" t="n">
        <v>0</v>
      </c>
      <c r="F12" s="18" t="n">
        <v>50</v>
      </c>
      <c r="G12" s="18"/>
      <c r="H12" s="18"/>
      <c r="I12" s="18"/>
      <c r="J12" s="12" t="s">
        <v>90</v>
      </c>
      <c r="K12" s="12" t="s">
        <v>68</v>
      </c>
    </row>
    <row r="13" customFormat="false" ht="15.75" hidden="false" customHeight="true" outlineLevel="0" collapsed="false">
      <c r="A13" s="14" t="n">
        <v>100</v>
      </c>
      <c r="B13" s="14" t="s">
        <v>91</v>
      </c>
      <c r="C13" s="14" t="s">
        <v>92</v>
      </c>
      <c r="D13" s="18"/>
      <c r="E13" s="18"/>
      <c r="F13" s="18"/>
      <c r="G13" s="18"/>
      <c r="H13" s="18"/>
      <c r="I13" s="18"/>
      <c r="J13" s="14"/>
      <c r="K13" s="14" t="s">
        <v>68</v>
      </c>
    </row>
    <row r="14" customFormat="false" ht="15.75" hidden="false" customHeight="true" outlineLevel="0" collapsed="false">
      <c r="A14" s="12" t="n">
        <v>110</v>
      </c>
      <c r="B14" s="12" t="s">
        <v>93</v>
      </c>
      <c r="C14" s="12" t="s">
        <v>94</v>
      </c>
      <c r="D14" s="18"/>
      <c r="E14" s="18"/>
      <c r="F14" s="18"/>
      <c r="G14" s="18"/>
      <c r="H14" s="18"/>
      <c r="I14" s="18"/>
      <c r="J14" s="12"/>
      <c r="K14" s="12" t="s">
        <v>68</v>
      </c>
    </row>
    <row r="15" customFormat="false" ht="15.75" hidden="false" customHeight="true" outlineLevel="0" collapsed="false">
      <c r="A15" s="14" t="n">
        <v>120</v>
      </c>
      <c r="B15" s="14" t="s">
        <v>95</v>
      </c>
      <c r="C15" s="14" t="s">
        <v>96</v>
      </c>
      <c r="D15" s="18"/>
      <c r="E15" s="18"/>
      <c r="F15" s="18"/>
      <c r="G15" s="18"/>
      <c r="H15" s="18"/>
      <c r="I15" s="18"/>
      <c r="J15" s="14" t="s">
        <v>97</v>
      </c>
      <c r="K15" s="14" t="s">
        <v>68</v>
      </c>
    </row>
  </sheetData>
  <mergeCells count="3">
    <mergeCell ref="A1:K1"/>
    <mergeCell ref="A2:C2"/>
    <mergeCell ref="D2:F2"/>
  </mergeCells>
  <conditionalFormatting sqref="K4:K200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"Erro"</formula>
    </cfRule>
  </conditionalFormatting>
  <dataValidations count="3">
    <dataValidation allowBlank="false" errorStyle="stop" operator="between" showDropDown="false" showErrorMessage="false" showInputMessage="false" sqref="D2" type="list">
      <formula1>"ROMI D600,Ergomat TND 200"</formula1>
      <formula2>0</formula2>
    </dataValidation>
    <dataValidation allowBlank="true" errorStyle="stop" operator="between" showDropDown="false" showErrorMessage="false" showInputMessage="false" sqref="C4:C200" type="list">
      <formula1>"G00,G01,G02,G03,G81,G83,G84,G73,G76,G85,G90,G92,G96,G97,M03,M05,M06,M08,M09,M30"</formula1>
      <formula2>0</formula2>
    </dataValidation>
    <dataValidation allowBlank="true" errorStyle="stop" operator="between" showDropDown="false" showErrorMessage="false" showInputMessage="false" sqref="K4:K200" type="list">
      <formula1>"OK,Erro,Pendente,Revisão"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20"/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36"/>
    <col collapsed="false" customWidth="true" hidden="false" outlineLevel="0" max="5" min="5" style="0" width="14"/>
  </cols>
  <sheetData>
    <row r="1" customFormat="false" ht="36" hidden="false" customHeight="true" outlineLevel="0" collapsed="false">
      <c r="A1" s="19" t="s">
        <v>98</v>
      </c>
      <c r="B1" s="19"/>
      <c r="C1" s="19"/>
      <c r="D1" s="19"/>
      <c r="E1" s="19"/>
    </row>
    <row r="2" customFormat="false" ht="18" hidden="false" customHeight="true" outlineLevel="0" collapsed="false">
      <c r="A2" s="16" t="s">
        <v>53</v>
      </c>
      <c r="B2" s="16"/>
      <c r="C2" s="16"/>
      <c r="D2" s="17" t="s">
        <v>35</v>
      </c>
      <c r="E2" s="17"/>
    </row>
    <row r="4" customFormat="false" ht="19.5" hidden="false" customHeight="true" outlineLevel="0" collapsed="false">
      <c r="A4" s="11" t="s">
        <v>17</v>
      </c>
      <c r="B4" s="11" t="s">
        <v>14</v>
      </c>
      <c r="C4" s="11" t="s">
        <v>15</v>
      </c>
      <c r="D4" s="11" t="s">
        <v>99</v>
      </c>
      <c r="E4" s="11" t="s">
        <v>64</v>
      </c>
    </row>
    <row r="5" customFormat="false" ht="18" hidden="false" customHeight="true" outlineLevel="0" collapsed="false">
      <c r="A5" s="14" t="s">
        <v>100</v>
      </c>
      <c r="B5" s="20" t="n">
        <v>150</v>
      </c>
      <c r="C5" s="21" t="s">
        <v>101</v>
      </c>
      <c r="D5" s="22" t="s">
        <v>102</v>
      </c>
      <c r="E5" s="23"/>
    </row>
    <row r="6" customFormat="false" ht="18" hidden="false" customHeight="true" outlineLevel="0" collapsed="false">
      <c r="A6" s="14" t="s">
        <v>103</v>
      </c>
      <c r="B6" s="20" t="n">
        <v>20</v>
      </c>
      <c r="C6" s="21" t="s">
        <v>34</v>
      </c>
      <c r="D6" s="22" t="s">
        <v>104</v>
      </c>
      <c r="E6" s="23"/>
    </row>
    <row r="7" customFormat="false" ht="18" hidden="false" customHeight="true" outlineLevel="0" collapsed="false">
      <c r="A7" s="24" t="s">
        <v>105</v>
      </c>
      <c r="B7" s="25" t="n">
        <f aca="false">(B5*1000)/(PI()*B6)</f>
        <v>2387.32414637843</v>
      </c>
      <c r="C7" s="26" t="s">
        <v>44</v>
      </c>
      <c r="D7" s="27" t="s">
        <v>106</v>
      </c>
      <c r="E7" s="23"/>
    </row>
    <row r="8" customFormat="false" ht="18" hidden="false" customHeight="true" outlineLevel="0" collapsed="false">
      <c r="A8" s="14" t="s">
        <v>107</v>
      </c>
      <c r="B8" s="20" t="n">
        <v>0.1</v>
      </c>
      <c r="C8" s="21" t="s">
        <v>108</v>
      </c>
      <c r="D8" s="22" t="s">
        <v>109</v>
      </c>
      <c r="E8" s="23"/>
    </row>
    <row r="9" customFormat="false" ht="18" hidden="false" customHeight="true" outlineLevel="0" collapsed="false">
      <c r="A9" s="14" t="s">
        <v>110</v>
      </c>
      <c r="B9" s="20" t="n">
        <v>2</v>
      </c>
      <c r="C9" s="21" t="s">
        <v>21</v>
      </c>
      <c r="D9" s="22" t="s">
        <v>111</v>
      </c>
      <c r="E9" s="23"/>
    </row>
    <row r="10" customFormat="false" ht="18" hidden="false" customHeight="true" outlineLevel="0" collapsed="false">
      <c r="A10" s="24" t="s">
        <v>112</v>
      </c>
      <c r="B10" s="26" t="n">
        <f aca="false">B8*B9*B7</f>
        <v>477.464829275686</v>
      </c>
      <c r="C10" s="26" t="s">
        <v>113</v>
      </c>
      <c r="D10" s="27" t="s">
        <v>114</v>
      </c>
      <c r="E10" s="23"/>
    </row>
    <row r="11" customFormat="false" ht="18" hidden="false" customHeight="true" outlineLevel="0" collapsed="false">
      <c r="A11" s="14" t="s">
        <v>115</v>
      </c>
      <c r="B11" s="20" t="n">
        <v>2</v>
      </c>
      <c r="C11" s="21" t="s">
        <v>34</v>
      </c>
      <c r="D11" s="22" t="s">
        <v>116</v>
      </c>
      <c r="E11" s="23"/>
    </row>
    <row r="12" customFormat="false" ht="18" hidden="false" customHeight="true" outlineLevel="0" collapsed="false">
      <c r="A12" s="14" t="s">
        <v>117</v>
      </c>
      <c r="B12" s="20" t="n">
        <v>5</v>
      </c>
      <c r="C12" s="21" t="s">
        <v>34</v>
      </c>
      <c r="D12" s="22" t="s">
        <v>118</v>
      </c>
      <c r="E12" s="23"/>
    </row>
    <row r="13" customFormat="false" ht="18" hidden="false" customHeight="true" outlineLevel="0" collapsed="false">
      <c r="A13" s="24" t="s">
        <v>119</v>
      </c>
      <c r="B13" s="26" t="n">
        <f aca="false">ROUND(B5*B10*B11/60000,2)</f>
        <v>2.39</v>
      </c>
      <c r="C13" s="26" t="s">
        <v>120</v>
      </c>
      <c r="D13" s="27" t="s">
        <v>121</v>
      </c>
      <c r="E13" s="23"/>
    </row>
    <row r="15" customFormat="false" ht="15" hidden="false" customHeight="true" outlineLevel="0" collapsed="false">
      <c r="A15" s="28" t="s">
        <v>122</v>
      </c>
      <c r="B15" s="28"/>
      <c r="C15" s="28"/>
      <c r="D15" s="28"/>
      <c r="E15" s="28"/>
    </row>
  </sheetData>
  <mergeCells count="4">
    <mergeCell ref="A1:E1"/>
    <mergeCell ref="A2:C2"/>
    <mergeCell ref="D2:E2"/>
    <mergeCell ref="A15:E15"/>
  </mergeCells>
  <conditionalFormatting sqref="B7">
    <cfRule type="expression" priority="2" aboveAverage="0" equalAverage="0" bottom="0" percent="0" rank="0" text="" dxfId="2">
      <formula>B7&gt;6000</formula>
    </cfRule>
  </conditionalFormatting>
  <dataValidations count="1">
    <dataValidation allowBlank="false" errorStyle="stop" operator="between" showDropDown="false" showErrorMessage="false" showInputMessage="false" sqref="D2" type="list">
      <formula1>"ROMI D600,Ergomat TND 200"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148C"/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36"/>
    <col collapsed="false" customWidth="true" hidden="false" outlineLevel="0" max="5" min="5" style="0" width="54"/>
    <col collapsed="false" customWidth="true" hidden="false" outlineLevel="0" max="6" min="6" style="0" width="16"/>
  </cols>
  <sheetData>
    <row r="1" customFormat="false" ht="36" hidden="false" customHeight="true" outlineLevel="0" collapsed="false">
      <c r="A1" s="29" t="s">
        <v>123</v>
      </c>
      <c r="B1" s="29"/>
      <c r="C1" s="29"/>
      <c r="D1" s="29"/>
      <c r="E1" s="29"/>
      <c r="F1" s="29"/>
    </row>
    <row r="3" customFormat="false" ht="19.5" hidden="false" customHeight="true" outlineLevel="0" collapsed="false">
      <c r="A3" s="11" t="s">
        <v>124</v>
      </c>
      <c r="B3" s="11" t="s">
        <v>125</v>
      </c>
      <c r="C3" s="11" t="s">
        <v>126</v>
      </c>
      <c r="D3" s="11" t="s">
        <v>127</v>
      </c>
      <c r="E3" s="11" t="s">
        <v>128</v>
      </c>
      <c r="F3" s="11" t="s">
        <v>16</v>
      </c>
    </row>
    <row r="4" customFormat="false" ht="21.75" hidden="false" customHeight="true" outlineLevel="0" collapsed="false">
      <c r="A4" s="30" t="s">
        <v>75</v>
      </c>
      <c r="B4" s="30" t="s">
        <v>129</v>
      </c>
      <c r="C4" s="31" t="s">
        <v>130</v>
      </c>
      <c r="D4" s="31" t="s">
        <v>131</v>
      </c>
      <c r="E4" s="31" t="s">
        <v>132</v>
      </c>
      <c r="F4" s="31" t="s">
        <v>35</v>
      </c>
    </row>
    <row r="5" customFormat="false" ht="21.75" hidden="false" customHeight="true" outlineLevel="0" collapsed="false">
      <c r="A5" s="30" t="s">
        <v>78</v>
      </c>
      <c r="B5" s="30" t="s">
        <v>133</v>
      </c>
      <c r="C5" s="31" t="s">
        <v>134</v>
      </c>
      <c r="D5" s="31" t="s">
        <v>135</v>
      </c>
      <c r="E5" s="31" t="s">
        <v>136</v>
      </c>
      <c r="F5" s="31" t="s">
        <v>35</v>
      </c>
    </row>
    <row r="6" customFormat="false" ht="21.75" hidden="false" customHeight="true" outlineLevel="0" collapsed="false">
      <c r="A6" s="30" t="s">
        <v>81</v>
      </c>
      <c r="B6" s="30" t="s">
        <v>137</v>
      </c>
      <c r="C6" s="31" t="s">
        <v>138</v>
      </c>
      <c r="D6" s="31" t="s">
        <v>139</v>
      </c>
      <c r="E6" s="31" t="s">
        <v>140</v>
      </c>
      <c r="F6" s="31" t="s">
        <v>35</v>
      </c>
    </row>
    <row r="7" customFormat="false" ht="21.75" hidden="false" customHeight="true" outlineLevel="0" collapsed="false">
      <c r="A7" s="30" t="s">
        <v>141</v>
      </c>
      <c r="B7" s="30" t="s">
        <v>142</v>
      </c>
      <c r="C7" s="31" t="s">
        <v>143</v>
      </c>
      <c r="D7" s="31" t="s">
        <v>144</v>
      </c>
      <c r="E7" s="31" t="s">
        <v>145</v>
      </c>
      <c r="F7" s="31" t="s">
        <v>35</v>
      </c>
    </row>
    <row r="8" customFormat="false" ht="21.75" hidden="false" customHeight="true" outlineLevel="0" collapsed="false">
      <c r="A8" s="30" t="s">
        <v>146</v>
      </c>
      <c r="B8" s="30" t="s">
        <v>147</v>
      </c>
      <c r="C8" s="31" t="s">
        <v>148</v>
      </c>
      <c r="D8" s="31" t="s">
        <v>149</v>
      </c>
      <c r="E8" s="31" t="s">
        <v>150</v>
      </c>
      <c r="F8" s="31" t="s">
        <v>35</v>
      </c>
    </row>
    <row r="9" customFormat="false" ht="21.75" hidden="false" customHeight="true" outlineLevel="0" collapsed="false">
      <c r="A9" s="30" t="s">
        <v>151</v>
      </c>
      <c r="B9" s="30" t="s">
        <v>152</v>
      </c>
      <c r="C9" s="31" t="s">
        <v>153</v>
      </c>
      <c r="D9" s="31" t="s">
        <v>154</v>
      </c>
      <c r="E9" s="31" t="s">
        <v>155</v>
      </c>
      <c r="F9" s="31" t="s">
        <v>35</v>
      </c>
    </row>
    <row r="10" customFormat="false" ht="21.75" hidden="false" customHeight="true" outlineLevel="0" collapsed="false">
      <c r="A10" s="32" t="s">
        <v>84</v>
      </c>
      <c r="B10" s="32" t="s">
        <v>156</v>
      </c>
      <c r="C10" s="33" t="s">
        <v>157</v>
      </c>
      <c r="D10" s="33" t="s">
        <v>158</v>
      </c>
      <c r="E10" s="33" t="s">
        <v>159</v>
      </c>
      <c r="F10" s="33" t="s">
        <v>41</v>
      </c>
    </row>
    <row r="11" customFormat="false" ht="21.75" hidden="false" customHeight="true" outlineLevel="0" collapsed="false">
      <c r="A11" s="32" t="s">
        <v>160</v>
      </c>
      <c r="B11" s="32" t="s">
        <v>161</v>
      </c>
      <c r="C11" s="33" t="s">
        <v>162</v>
      </c>
      <c r="D11" s="33" t="s">
        <v>163</v>
      </c>
      <c r="E11" s="33" t="s">
        <v>164</v>
      </c>
      <c r="F11" s="33" t="s">
        <v>41</v>
      </c>
    </row>
    <row r="12" customFormat="false" ht="21.75" hidden="false" customHeight="true" outlineLevel="0" collapsed="false">
      <c r="A12" s="32" t="s">
        <v>165</v>
      </c>
      <c r="B12" s="32" t="s">
        <v>166</v>
      </c>
      <c r="C12" s="33" t="s">
        <v>167</v>
      </c>
      <c r="D12" s="33" t="s">
        <v>168</v>
      </c>
      <c r="E12" s="33" t="s">
        <v>169</v>
      </c>
      <c r="F12" s="33" t="s">
        <v>41</v>
      </c>
    </row>
    <row r="13" customFormat="false" ht="21.75" hidden="false" customHeight="true" outlineLevel="0" collapsed="false">
      <c r="A13" s="32" t="s">
        <v>170</v>
      </c>
      <c r="B13" s="32" t="s">
        <v>171</v>
      </c>
      <c r="C13" s="33" t="s">
        <v>172</v>
      </c>
      <c r="D13" s="33" t="s">
        <v>173</v>
      </c>
      <c r="E13" s="33" t="s">
        <v>174</v>
      </c>
      <c r="F13" s="33" t="s">
        <v>41</v>
      </c>
    </row>
    <row r="14" customFormat="false" ht="21.75" hidden="false" customHeight="true" outlineLevel="0" collapsed="false">
      <c r="A14" s="34" t="s">
        <v>175</v>
      </c>
      <c r="B14" s="34" t="s">
        <v>176</v>
      </c>
      <c r="C14" s="35" t="s">
        <v>177</v>
      </c>
      <c r="D14" s="35" t="s">
        <v>178</v>
      </c>
      <c r="E14" s="35" t="s">
        <v>179</v>
      </c>
      <c r="F14" s="35" t="s">
        <v>22</v>
      </c>
    </row>
    <row r="15" customFormat="false" ht="21.75" hidden="false" customHeight="true" outlineLevel="0" collapsed="false">
      <c r="A15" s="34" t="s">
        <v>87</v>
      </c>
      <c r="B15" s="34" t="s">
        <v>180</v>
      </c>
      <c r="C15" s="35" t="s">
        <v>181</v>
      </c>
      <c r="D15" s="35" t="s">
        <v>182</v>
      </c>
      <c r="E15" s="35" t="s">
        <v>183</v>
      </c>
      <c r="F15" s="35" t="s">
        <v>22</v>
      </c>
    </row>
    <row r="16" customFormat="false" ht="21.75" hidden="false" customHeight="true" outlineLevel="0" collapsed="false">
      <c r="A16" s="34" t="s">
        <v>184</v>
      </c>
      <c r="B16" s="34" t="s">
        <v>185</v>
      </c>
      <c r="C16" s="35" t="s">
        <v>186</v>
      </c>
      <c r="D16" s="35" t="s">
        <v>187</v>
      </c>
      <c r="E16" s="35" t="s">
        <v>188</v>
      </c>
      <c r="F16" s="35" t="s">
        <v>22</v>
      </c>
    </row>
    <row r="18" customFormat="false" ht="15" hidden="false" customHeight="true" outlineLevel="0" collapsed="false">
      <c r="A18" s="28" t="s">
        <v>189</v>
      </c>
      <c r="B18" s="28"/>
      <c r="C18" s="28"/>
      <c r="D18" s="28"/>
      <c r="E18" s="28"/>
      <c r="F18" s="28"/>
    </row>
  </sheetData>
  <mergeCells count="2">
    <mergeCell ref="A1:F1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1C1C"/>
    <pageSetUpPr fitToPage="false"/>
  </sheetPr>
  <dimension ref="A1:C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34"/>
  </cols>
  <sheetData>
    <row r="1" customFormat="false" ht="36" hidden="false" customHeight="true" outlineLevel="0" collapsed="false">
      <c r="A1" s="36" t="s">
        <v>190</v>
      </c>
      <c r="B1" s="36"/>
      <c r="C1" s="36"/>
    </row>
    <row r="2" customFormat="false" ht="19.5" hidden="false" customHeight="true" outlineLevel="0" collapsed="false">
      <c r="A2" s="37" t="s">
        <v>191</v>
      </c>
      <c r="B2" s="37" t="s">
        <v>192</v>
      </c>
      <c r="C2" s="37" t="s">
        <v>63</v>
      </c>
    </row>
    <row r="3" customFormat="false" ht="15.75" hidden="false" customHeight="true" outlineLevel="0" collapsed="false">
      <c r="A3" s="38" t="s">
        <v>193</v>
      </c>
      <c r="B3" s="39" t="s">
        <v>194</v>
      </c>
      <c r="C3" s="40" t="s">
        <v>195</v>
      </c>
    </row>
    <row r="4" customFormat="false" ht="15.75" hidden="false" customHeight="true" outlineLevel="0" collapsed="false">
      <c r="A4" s="38" t="s">
        <v>196</v>
      </c>
      <c r="B4" s="39" t="s">
        <v>194</v>
      </c>
      <c r="C4" s="40" t="s">
        <v>197</v>
      </c>
    </row>
    <row r="5" customFormat="false" ht="15.75" hidden="false" customHeight="true" outlineLevel="0" collapsed="false">
      <c r="A5" s="38" t="s">
        <v>198</v>
      </c>
      <c r="B5" s="39" t="s">
        <v>194</v>
      </c>
      <c r="C5" s="40" t="s">
        <v>199</v>
      </c>
    </row>
    <row r="6" customFormat="false" ht="15.75" hidden="false" customHeight="true" outlineLevel="0" collapsed="false">
      <c r="A6" s="38" t="s">
        <v>200</v>
      </c>
      <c r="B6" s="39" t="s">
        <v>194</v>
      </c>
      <c r="C6" s="40" t="s">
        <v>201</v>
      </c>
    </row>
    <row r="7" customFormat="false" ht="15.75" hidden="false" customHeight="true" outlineLevel="0" collapsed="false">
      <c r="A7" s="38" t="s">
        <v>202</v>
      </c>
      <c r="B7" s="39" t="s">
        <v>194</v>
      </c>
      <c r="C7" s="40" t="s">
        <v>203</v>
      </c>
    </row>
    <row r="8" customFormat="false" ht="15.75" hidden="false" customHeight="true" outlineLevel="0" collapsed="false">
      <c r="A8" s="38" t="s">
        <v>204</v>
      </c>
      <c r="B8" s="39" t="s">
        <v>205</v>
      </c>
      <c r="C8" s="40" t="s">
        <v>206</v>
      </c>
    </row>
    <row r="9" customFormat="false" ht="15.75" hidden="false" customHeight="true" outlineLevel="0" collapsed="false">
      <c r="A9" s="38" t="s">
        <v>207</v>
      </c>
      <c r="B9" s="39" t="s">
        <v>208</v>
      </c>
      <c r="C9" s="40" t="s">
        <v>209</v>
      </c>
    </row>
    <row r="10" customFormat="false" ht="15.75" hidden="false" customHeight="true" outlineLevel="0" collapsed="false">
      <c r="A10" s="38" t="s">
        <v>210</v>
      </c>
      <c r="B10" s="39" t="s">
        <v>194</v>
      </c>
      <c r="C10" s="40" t="s">
        <v>211</v>
      </c>
    </row>
    <row r="11" customFormat="false" ht="15.75" hidden="false" customHeight="true" outlineLevel="0" collapsed="false">
      <c r="A11" s="38"/>
      <c r="B11" s="39"/>
      <c r="C11" s="40"/>
    </row>
    <row r="12" customFormat="false" ht="15.75" hidden="false" customHeight="true" outlineLevel="0" collapsed="false">
      <c r="A12" s="41" t="str">
        <f aca="false">IF(Operações!C4&lt;&gt;"",Operações!C4&amp;IF(Operações!D4&lt;&gt;""," X"&amp;Operações!D4,"")&amp;IF(Operações!E4&lt;&gt;""," Y"&amp;Operações!E4,"")&amp;IF(Operações!F4&lt;&gt;""," Z"&amp;Operações!F4,"")&amp;IF(Operações!G4&lt;&gt;""," Q"&amp;Operações!G4,"")&amp;IF(Operações!H4&lt;&gt;""," F"&amp;Operações!H4,"")&amp;IF(Operações!I4&lt;&gt;""," S"&amp;Operações!I4,""),"(vazio)")</f>
        <v>G00 X0 Y0 Z50</v>
      </c>
      <c r="B12" s="39" t="s">
        <v>212</v>
      </c>
      <c r="C12" s="40" t="str">
        <f aca="false">Operações!J4</f>
        <v>Ponto seguro</v>
      </c>
    </row>
    <row r="13" customFormat="false" ht="15.75" hidden="false" customHeight="true" outlineLevel="0" collapsed="false">
      <c r="A13" s="41" t="str">
        <f aca="false">IF(Operações!C5&lt;&gt;"",Operações!C5&amp;IF(Operações!D5&lt;&gt;""," X"&amp;Operações!D5,"")&amp;IF(Operações!E5&lt;&gt;""," Y"&amp;Operações!E5,"")&amp;IF(Operações!F5&lt;&gt;""," Z"&amp;Operações!F5,"")&amp;IF(Operações!G5&lt;&gt;""," Q"&amp;Operações!G5,"")&amp;IF(Operações!H5&lt;&gt;""," F"&amp;Operações!H5,"")&amp;IF(Operações!I5&lt;&gt;""," S"&amp;Operações!I5,""),"(vazio)")</f>
        <v>M03 S1200</v>
      </c>
      <c r="B13" s="39" t="s">
        <v>213</v>
      </c>
      <c r="C13" s="40" t="str">
        <f aca="false">Operações!J5</f>
        <v>Ligar refrigeração M08</v>
      </c>
    </row>
    <row r="14" customFormat="false" ht="15.75" hidden="false" customHeight="true" outlineLevel="0" collapsed="false">
      <c r="A14" s="41" t="str">
        <f aca="false">IF(Operações!C6&lt;&gt;"",Operações!C6&amp;IF(Operações!D6&lt;&gt;""," X"&amp;Operações!D6,"")&amp;IF(Operações!E6&lt;&gt;""," Y"&amp;Operações!E6,"")&amp;IF(Operações!F6&lt;&gt;""," Z"&amp;Operações!F6,"")&amp;IF(Operações!G6&lt;&gt;""," Q"&amp;Operações!G6,"")&amp;IF(Operações!H6&lt;&gt;""," F"&amp;Operações!H6,"")&amp;IF(Operações!I6&lt;&gt;""," S"&amp;Operações!I6,""),"(vazio)")</f>
        <v>G00 X100 Y50 Z5</v>
      </c>
      <c r="B14" s="39" t="s">
        <v>214</v>
      </c>
      <c r="C14" s="40" t="str">
        <f aca="false">Operações!J6</f>
        <v>Sobre a peça</v>
      </c>
    </row>
    <row r="15" customFormat="false" ht="15.75" hidden="false" customHeight="true" outlineLevel="0" collapsed="false">
      <c r="A15" s="41" t="str">
        <f aca="false">IF(Operações!C7&lt;&gt;"",Operações!C7&amp;IF(Operações!D7&lt;&gt;""," X"&amp;Operações!D7,"")&amp;IF(Operações!E7&lt;&gt;""," Y"&amp;Operações!E7,"")&amp;IF(Operações!F7&lt;&gt;""," Z"&amp;Operações!F7,"")&amp;IF(Operações!G7&lt;&gt;""," Q"&amp;Operações!G7,"")&amp;IF(Operações!H7&lt;&gt;""," F"&amp;Operações!H7,"")&amp;IF(Operações!I7&lt;&gt;""," S"&amp;Operações!I7,""),"(vazio)")</f>
        <v>G81 X100 Y50 Z-20 F150 S1200</v>
      </c>
      <c r="B15" s="39" t="s">
        <v>215</v>
      </c>
      <c r="C15" s="40" t="str">
        <f aca="false">Operações!J7</f>
        <v>Furo Ø10 raso</v>
      </c>
    </row>
    <row r="16" customFormat="false" ht="15.75" hidden="false" customHeight="true" outlineLevel="0" collapsed="false">
      <c r="A16" s="41" t="str">
        <f aca="false">IF(Operações!C8&lt;&gt;"",Operações!C8&amp;IF(Operações!D8&lt;&gt;""," X"&amp;Operações!D8,"")&amp;IF(Operações!E8&lt;&gt;""," Y"&amp;Operações!E8,"")&amp;IF(Operações!F8&lt;&gt;""," Z"&amp;Operações!F8,"")&amp;IF(Operações!G8&lt;&gt;""," Q"&amp;Operações!G8,"")&amp;IF(Operações!H8&lt;&gt;""," F"&amp;Operações!H8,"")&amp;IF(Operações!I8&lt;&gt;""," S"&amp;Operações!I8,""),"(vazio)")</f>
        <v>G83 X100 Y80 Z-50 Q5 F120 S1000</v>
      </c>
      <c r="B16" s="39" t="s">
        <v>216</v>
      </c>
      <c r="C16" s="40" t="str">
        <f aca="false">Operações!J8</f>
        <v>Q=bicada 5mm</v>
      </c>
    </row>
    <row r="17" customFormat="false" ht="15.75" hidden="false" customHeight="true" outlineLevel="0" collapsed="false">
      <c r="A17" s="41" t="str">
        <f aca="false">IF(Operações!C9&lt;&gt;"",Operações!C9&amp;IF(Operações!D9&lt;&gt;""," X"&amp;Operações!D9,"")&amp;IF(Operações!E9&lt;&gt;""," Y"&amp;Operações!E9,"")&amp;IF(Operações!F9&lt;&gt;""," Z"&amp;Operações!F9,"")&amp;IF(Operações!G9&lt;&gt;""," Q"&amp;Operações!G9,"")&amp;IF(Operações!H9&lt;&gt;""," F"&amp;Operações!H9,"")&amp;IF(Operações!I9&lt;&gt;""," S"&amp;Operações!I9,""),"(vazio)")</f>
        <v>G84 X120 Y60 Z-25 F175 S800</v>
      </c>
      <c r="B17" s="39" t="s">
        <v>217</v>
      </c>
      <c r="C17" s="40" t="str">
        <f aca="false">Operações!J9</f>
        <v>Passo 1.75mm</v>
      </c>
    </row>
    <row r="18" customFormat="false" ht="15.75" hidden="false" customHeight="true" outlineLevel="0" collapsed="false">
      <c r="A18" s="41" t="str">
        <f aca="false">IF(Operações!C10&lt;&gt;"",Operações!C10&amp;IF(Operações!D10&lt;&gt;""," X"&amp;Operações!D10,"")&amp;IF(Operações!E10&lt;&gt;""," Y"&amp;Operações!E10,"")&amp;IF(Operações!F10&lt;&gt;""," Z"&amp;Operações!F10,"")&amp;IF(Operações!G10&lt;&gt;""," Q"&amp;Operações!G10,"")&amp;IF(Operações!H10&lt;&gt;""," F"&amp;Operações!H10,"")&amp;IF(Operações!I10&lt;&gt;""," S"&amp;Operações!I10,""),"(vazio)")</f>
        <v>G01 X150 Y100 Z-5 F200 S1500</v>
      </c>
      <c r="B18" s="39" t="s">
        <v>218</v>
      </c>
      <c r="C18" s="40" t="str">
        <f aca="false">Operações!J10</f>
        <v>Acabamento lateral</v>
      </c>
    </row>
    <row r="19" customFormat="false" ht="15.75" hidden="false" customHeight="true" outlineLevel="0" collapsed="false">
      <c r="A19" s="41" t="str">
        <f aca="false">IF(Operações!C11&lt;&gt;"",Operações!C11&amp;IF(Operações!D11&lt;&gt;""," X"&amp;Operações!D11,"")&amp;IF(Operações!E11&lt;&gt;""," Y"&amp;Operações!E11,"")&amp;IF(Operações!F11&lt;&gt;""," Z"&amp;Operações!F11,"")&amp;IF(Operações!G11&lt;&gt;""," Q"&amp;Operações!G11,"")&amp;IF(Operações!H11&lt;&gt;""," F"&amp;Operações!H11,"")&amp;IF(Operações!I11&lt;&gt;""," S"&amp;Operações!I11,""),"(vazio)")</f>
        <v>G02 X180 Y120 Z-5 F180 S1500</v>
      </c>
      <c r="B19" s="39" t="s">
        <v>219</v>
      </c>
      <c r="C19" s="40" t="str">
        <f aca="false">Operações!J11</f>
        <v>Interpolação circular</v>
      </c>
    </row>
    <row r="20" customFormat="false" ht="15.75" hidden="false" customHeight="true" outlineLevel="0" collapsed="false">
      <c r="A20" s="41" t="str">
        <f aca="false">IF(Operações!C12&lt;&gt;"",Operações!C12&amp;IF(Operações!D12&lt;&gt;""," X"&amp;Operações!D12,"")&amp;IF(Operações!E12&lt;&gt;""," Y"&amp;Operações!E12,"")&amp;IF(Operações!F12&lt;&gt;""," Z"&amp;Operações!F12,"")&amp;IF(Operações!G12&lt;&gt;""," Q"&amp;Operações!G12,"")&amp;IF(Operações!H12&lt;&gt;""," F"&amp;Operações!H12,"")&amp;IF(Operações!I12&lt;&gt;""," S"&amp;Operações!I12,""),"(vazio)")</f>
        <v>G00 X0 Y0 Z50</v>
      </c>
      <c r="B20" s="39" t="s">
        <v>220</v>
      </c>
      <c r="C20" s="40" t="str">
        <f aca="false">Operações!J12</f>
        <v>Afasta ferramenta</v>
      </c>
    </row>
    <row r="21" customFormat="false" ht="15.75" hidden="false" customHeight="true" outlineLevel="0" collapsed="false">
      <c r="A21" s="41" t="str">
        <f aca="false">IF(Operações!C13&lt;&gt;"",Operações!C13&amp;IF(Operações!D13&lt;&gt;""," X"&amp;Operações!D13,"")&amp;IF(Operações!E13&lt;&gt;""," Y"&amp;Operações!E13,"")&amp;IF(Operações!F13&lt;&gt;""," Z"&amp;Operações!F13,"")&amp;IF(Operações!G13&lt;&gt;""," Q"&amp;Operações!G13,"")&amp;IF(Operações!H13&lt;&gt;""," F"&amp;Operações!H13,"")&amp;IF(Operações!I13&lt;&gt;""," S"&amp;Operações!I13,""),"(vazio)")</f>
        <v>M09</v>
      </c>
      <c r="B21" s="39" t="s">
        <v>221</v>
      </c>
      <c r="C21" s="40" t="n">
        <f aca="false">Operações!J13</f>
        <v>0</v>
      </c>
    </row>
    <row r="22" customFormat="false" ht="15.75" hidden="false" customHeight="true" outlineLevel="0" collapsed="false">
      <c r="A22" s="41" t="str">
        <f aca="false">IF(Operações!C14&lt;&gt;"",Operações!C14&amp;IF(Operações!D14&lt;&gt;""," X"&amp;Operações!D14,"")&amp;IF(Operações!E14&lt;&gt;""," Y"&amp;Operações!E14,"")&amp;IF(Operações!F14&lt;&gt;""," Z"&amp;Operações!F14,"")&amp;IF(Operações!G14&lt;&gt;""," Q"&amp;Operações!G14,"")&amp;IF(Operações!H14&lt;&gt;""," F"&amp;Operações!H14,"")&amp;IF(Operações!I14&lt;&gt;""," S"&amp;Operações!I14,""),"(vazio)")</f>
        <v>M05</v>
      </c>
      <c r="B22" s="39" t="s">
        <v>222</v>
      </c>
      <c r="C22" s="40" t="n">
        <f aca="false">Operações!J14</f>
        <v>0</v>
      </c>
    </row>
    <row r="23" customFormat="false" ht="15.75" hidden="false" customHeight="true" outlineLevel="0" collapsed="false">
      <c r="A23" s="41" t="str">
        <f aca="false">IF(Operações!C15&lt;&gt;"",Operações!C15&amp;IF(Operações!D15&lt;&gt;""," X"&amp;Operações!D15,"")&amp;IF(Operações!E15&lt;&gt;""," Y"&amp;Operações!E15,"")&amp;IF(Operações!F15&lt;&gt;""," Z"&amp;Operações!F15,"")&amp;IF(Operações!G15&lt;&gt;""," Q"&amp;Operações!G15,"")&amp;IF(Operações!H15&lt;&gt;""," F"&amp;Operações!H15,"")&amp;IF(Operações!I15&lt;&gt;""," S"&amp;Operações!I15,""),"(vazio)")</f>
        <v>M30</v>
      </c>
      <c r="B23" s="39" t="s">
        <v>223</v>
      </c>
      <c r="C23" s="40" t="str">
        <f aca="false">Operações!J15</f>
        <v>Reset + Rewind</v>
      </c>
    </row>
    <row r="24" customFormat="false" ht="15.75" hidden="false" customHeight="true" outlineLevel="0" collapsed="false">
      <c r="A24" s="42"/>
      <c r="B24" s="39" t="s">
        <v>194</v>
      </c>
      <c r="C24" s="40"/>
    </row>
    <row r="25" customFormat="false" ht="15.75" hidden="false" customHeight="true" outlineLevel="0" collapsed="false">
      <c r="A25" s="42" t="s">
        <v>92</v>
      </c>
      <c r="B25" s="39" t="s">
        <v>194</v>
      </c>
      <c r="C25" s="40" t="s">
        <v>91</v>
      </c>
    </row>
    <row r="26" customFormat="false" ht="15.75" hidden="false" customHeight="true" outlineLevel="0" collapsed="false">
      <c r="A26" s="42" t="s">
        <v>94</v>
      </c>
      <c r="B26" s="39" t="s">
        <v>194</v>
      </c>
      <c r="C26" s="40" t="s">
        <v>93</v>
      </c>
    </row>
    <row r="27" customFormat="false" ht="15.75" hidden="false" customHeight="true" outlineLevel="0" collapsed="false">
      <c r="A27" s="42" t="s">
        <v>96</v>
      </c>
      <c r="B27" s="39" t="s">
        <v>194</v>
      </c>
      <c r="C27" s="40" t="s">
        <v>224</v>
      </c>
    </row>
    <row r="28" customFormat="false" ht="15.75" hidden="false" customHeight="true" outlineLevel="0" collapsed="false">
      <c r="A28" s="42" t="s">
        <v>193</v>
      </c>
      <c r="B28" s="39" t="s">
        <v>194</v>
      </c>
      <c r="C28" s="40" t="s">
        <v>225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2026-03-19T21:17:55Z</dcterms:created>
  <dc:creator>openpyxl</dc:creator>
  <dc:description/>
  <dc:language>en-US</dc:language>
  <cp:lastModifiedBy/>
  <dcterms:modified xsi:type="dcterms:W3CDTF">2026-03-19T21:17:55Z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